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rm_Cell_Count" sheetId="1" r:id="rId4"/>
    <sheet state="visible" name="Sheet3" sheetId="2" r:id="rId5"/>
    <sheet state="visible" name="Sperm_Cell_Conditioning" sheetId="3" r:id="rId6"/>
  </sheets>
  <definedNames/>
  <calcPr/>
</workbook>
</file>

<file path=xl/sharedStrings.xml><?xml version="1.0" encoding="utf-8"?>
<sst xmlns="http://schemas.openxmlformats.org/spreadsheetml/2006/main" count="367" uniqueCount="78">
  <si>
    <t>Date:</t>
  </si>
  <si>
    <t>ID</t>
  </si>
  <si>
    <t>Tank #</t>
  </si>
  <si>
    <t>Weight (g)</t>
  </si>
  <si>
    <t>Group</t>
  </si>
  <si>
    <t>Hormone</t>
  </si>
  <si>
    <t>Concentration (uL)</t>
  </si>
  <si>
    <t>Volume Injected. (uL)</t>
  </si>
  <si>
    <t>Room Temperature °C</t>
  </si>
  <si>
    <t xml:space="preserve">Inject Time: </t>
  </si>
  <si>
    <t>Collection</t>
  </si>
  <si>
    <t>Time</t>
  </si>
  <si>
    <t>Spermic Urine Volume (uL)</t>
  </si>
  <si>
    <t>Concentration</t>
  </si>
  <si>
    <t>pH</t>
  </si>
  <si>
    <t>Motility(%)</t>
  </si>
  <si>
    <t>FPM(%)</t>
  </si>
  <si>
    <t>FPM</t>
  </si>
  <si>
    <t>TW</t>
  </si>
  <si>
    <t>IM</t>
  </si>
  <si>
    <t>Comments</t>
  </si>
  <si>
    <t>Puesta #12</t>
  </si>
  <si>
    <t>Juan's</t>
  </si>
  <si>
    <t>F1</t>
  </si>
  <si>
    <t>hCG</t>
  </si>
  <si>
    <t>T3</t>
  </si>
  <si>
    <t>Low motility. Higher pH</t>
  </si>
  <si>
    <t>T2</t>
  </si>
  <si>
    <t>EPITHELIAL CELLS</t>
  </si>
  <si>
    <t>T1</t>
  </si>
  <si>
    <t>no cells</t>
  </si>
  <si>
    <t>puesta #9</t>
  </si>
  <si>
    <t>NICE</t>
  </si>
  <si>
    <t>Sperm cells, Ind.</t>
  </si>
  <si>
    <t>Puesta #2</t>
  </si>
  <si>
    <t xml:space="preserve">Pato </t>
  </si>
  <si>
    <t>Chueco</t>
  </si>
  <si>
    <t>11,35</t>
  </si>
  <si>
    <t>12,50</t>
  </si>
  <si>
    <t>Epithelial cells</t>
  </si>
  <si>
    <t>Puesta #9</t>
  </si>
  <si>
    <t>11:30:00 A</t>
  </si>
  <si>
    <t>12:06:00 P</t>
  </si>
  <si>
    <t>epithelial cells</t>
  </si>
  <si>
    <t>Fair</t>
  </si>
  <si>
    <t>-</t>
  </si>
  <si>
    <t>Indetermined</t>
  </si>
  <si>
    <t>Underdeveloped cells</t>
  </si>
  <si>
    <t>60 cells count</t>
  </si>
  <si>
    <t>T4</t>
  </si>
  <si>
    <t>half fully developed</t>
  </si>
  <si>
    <t>Epithelial Cells</t>
  </si>
  <si>
    <t>Pure</t>
  </si>
  <si>
    <t>Low count</t>
  </si>
  <si>
    <t>FD: 1:2</t>
  </si>
  <si>
    <t>*</t>
  </si>
  <si>
    <t>Nice.</t>
  </si>
  <si>
    <t>T5</t>
  </si>
  <si>
    <t>no sperm, Opaline #*</t>
  </si>
  <si>
    <t>Uncountable</t>
  </si>
  <si>
    <t>epithelial cells, opaline+##</t>
  </si>
  <si>
    <t xml:space="preserve">1:5 epithelial cells </t>
  </si>
  <si>
    <t>Puesta #10</t>
  </si>
  <si>
    <t>Date</t>
  </si>
  <si>
    <t>Cryoprotectant</t>
  </si>
  <si>
    <t>Sample Code</t>
  </si>
  <si>
    <t>Time Lapse</t>
  </si>
  <si>
    <t>Motility (%)</t>
  </si>
  <si>
    <t>Cell Count</t>
  </si>
  <si>
    <t>Observations</t>
  </si>
  <si>
    <t>CPA1</t>
  </si>
  <si>
    <t>CPA2</t>
  </si>
  <si>
    <t>Not statistically significant enough</t>
  </si>
  <si>
    <t>Odd</t>
  </si>
  <si>
    <t>3 second error, epithelial cells</t>
  </si>
  <si>
    <t>1.42 second's error</t>
  </si>
  <si>
    <t>H2O excess (+2 uL)</t>
  </si>
  <si>
    <t>Not taken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</si>
</sst>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, dd, yyyy"/>
    <numFmt numFmtId="165" formatCode="mmm, d, yyyy"/>
    <numFmt numFmtId="166" formatCode="mmm, dd, 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rgb="FF434343"/>
      <name val="Robot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</fills>
  <borders count="20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49" xfId="0" applyAlignment="1" applyBorder="1" applyFont="1" applyNumberForma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2" fontId="2" numFmtId="164" xfId="0" applyAlignment="1" applyBorder="1" applyFill="1" applyFont="1" applyNumberFormat="1">
      <alignment horizontal="right" readingOrder="0" shrinkToFit="0" vertical="center" wrapText="0"/>
    </xf>
    <xf borderId="5" fillId="2" fontId="2" numFmtId="0" xfId="0" applyAlignment="1" applyBorder="1" applyFont="1">
      <alignment readingOrder="0" shrinkToFit="0" vertical="center" wrapText="0"/>
    </xf>
    <xf borderId="5" fillId="2" fontId="2" numFmtId="0" xfId="0" applyAlignment="1" applyBorder="1" applyFont="1">
      <alignment horizontal="right" readingOrder="0" shrinkToFit="0" vertical="center" wrapText="0"/>
    </xf>
    <xf borderId="5" fillId="2" fontId="2" numFmtId="20" xfId="0" applyAlignment="1" applyBorder="1" applyFont="1" applyNumberFormat="1">
      <alignment horizontal="right" readingOrder="0" shrinkToFit="0" vertical="center" wrapText="0"/>
    </xf>
    <xf borderId="6" fillId="2" fontId="2" numFmtId="0" xfId="0" applyAlignment="1" applyBorder="1" applyFont="1">
      <alignment readingOrder="0" shrinkToFit="0" vertical="center" wrapText="0"/>
    </xf>
    <xf borderId="7" fillId="2" fontId="2" numFmtId="164" xfId="0" applyAlignment="1" applyBorder="1" applyFont="1" applyNumberFormat="1">
      <alignment horizontal="right" readingOrder="0" shrinkToFit="0" vertical="center" wrapText="0"/>
    </xf>
    <xf borderId="8" fillId="2" fontId="2" numFmtId="0" xfId="0" applyAlignment="1" applyBorder="1" applyFont="1">
      <alignment readingOrder="0" shrinkToFit="0" vertical="center" wrapText="0"/>
    </xf>
    <xf borderId="8" fillId="2" fontId="2" numFmtId="0" xfId="0" applyAlignment="1" applyBorder="1" applyFont="1">
      <alignment horizontal="right" readingOrder="0" shrinkToFit="0" vertical="center" wrapText="0"/>
    </xf>
    <xf borderId="8" fillId="2" fontId="2" numFmtId="20" xfId="0" applyAlignment="1" applyBorder="1" applyFont="1" applyNumberFormat="1">
      <alignment horizontal="right" readingOrder="0" shrinkToFit="0" vertical="center" wrapText="0"/>
    </xf>
    <xf borderId="9" fillId="2" fontId="2" numFmtId="0" xfId="0" applyAlignment="1" applyBorder="1" applyFont="1">
      <alignment readingOrder="0" shrinkToFit="0" vertical="center" wrapText="0"/>
    </xf>
    <xf borderId="7" fillId="2" fontId="2" numFmtId="164" xfId="0" applyAlignment="1" applyBorder="1" applyFont="1" applyNumberFormat="1">
      <alignment horizontal="right" shrinkToFit="0" vertical="center" wrapText="0"/>
    </xf>
    <xf borderId="8" fillId="2" fontId="2" numFmtId="0" xfId="0" applyAlignment="1" applyBorder="1" applyFont="1">
      <alignment shrinkToFit="0" vertical="center" wrapText="0"/>
    </xf>
    <xf borderId="8" fillId="2" fontId="2" numFmtId="0" xfId="0" applyAlignment="1" applyBorder="1" applyFont="1">
      <alignment horizontal="right" shrinkToFit="0" vertical="center" wrapText="0"/>
    </xf>
    <xf borderId="8" fillId="2" fontId="2" numFmtId="20" xfId="0" applyAlignment="1" applyBorder="1" applyFont="1" applyNumberFormat="1">
      <alignment horizontal="right" shrinkToFit="0" vertical="center" wrapText="0"/>
    </xf>
    <xf borderId="4" fillId="0" fontId="3" numFmtId="164" xfId="0" applyAlignment="1" applyBorder="1" applyFont="1" applyNumberFormat="1">
      <alignment readingOrder="0"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5" fillId="0" fontId="3" numFmtId="20" xfId="0" applyAlignment="1" applyBorder="1" applyFont="1" applyNumberFormat="1">
      <alignment readingOrder="0" shrinkToFit="0" vertical="center" wrapText="0"/>
    </xf>
    <xf borderId="9" fillId="2" fontId="2" numFmtId="0" xfId="0" applyAlignment="1" applyBorder="1" applyFont="1">
      <alignment shrinkToFit="0" vertical="center" wrapText="0"/>
    </xf>
    <xf borderId="7" fillId="0" fontId="3" numFmtId="164" xfId="0" applyAlignment="1" applyBorder="1" applyFont="1" applyNumberFormat="1">
      <alignment readingOrder="0" shrinkToFit="0" vertical="center" wrapText="0"/>
    </xf>
    <xf borderId="8" fillId="0" fontId="3" numFmtId="0" xfId="0" applyAlignment="1" applyBorder="1" applyFont="1">
      <alignment readingOrder="0" shrinkToFit="0" vertical="center" wrapText="0"/>
    </xf>
    <xf borderId="8" fillId="0" fontId="3" numFmtId="20" xfId="0" applyAlignment="1" applyBorder="1" applyFont="1" applyNumberFormat="1">
      <alignment readingOrder="0" shrinkToFit="0" vertical="center" wrapText="0"/>
    </xf>
    <xf borderId="9" fillId="0" fontId="3" numFmtId="0" xfId="0" applyAlignment="1" applyBorder="1" applyFont="1">
      <alignment readingOrder="0" shrinkToFit="0" vertical="center" wrapText="0"/>
    </xf>
    <xf borderId="6" fillId="0" fontId="3" numFmtId="0" xfId="0" applyAlignment="1" applyBorder="1" applyFont="1">
      <alignment readingOrder="0" shrinkToFit="0" vertical="center" wrapText="0"/>
    </xf>
    <xf borderId="10" fillId="0" fontId="3" numFmtId="165" xfId="0" applyAlignment="1" applyBorder="1" applyFont="1" applyNumberFormat="1">
      <alignment readingOrder="0" shrinkToFit="0" vertical="center" wrapText="0"/>
    </xf>
    <xf borderId="11" fillId="0" fontId="3" numFmtId="0" xfId="0" applyAlignment="1" applyBorder="1" applyFont="1">
      <alignment readingOrder="0" shrinkToFit="0" vertical="center" wrapText="0"/>
    </xf>
    <xf borderId="11" fillId="0" fontId="3" numFmtId="0" xfId="0" applyAlignment="1" applyBorder="1" applyFont="1">
      <alignment shrinkToFit="0" vertical="center" wrapText="0"/>
    </xf>
    <xf borderId="12" fillId="0" fontId="3" numFmtId="165" xfId="0" applyAlignment="1" applyBorder="1" applyFont="1" applyNumberFormat="1">
      <alignment readingOrder="0" shrinkToFit="0" vertical="center" wrapText="0"/>
    </xf>
    <xf borderId="11" fillId="0" fontId="3" numFmtId="20" xfId="0" applyAlignment="1" applyBorder="1" applyFont="1" applyNumberFormat="1">
      <alignment readingOrder="0" shrinkToFit="0" vertical="center" wrapText="0"/>
    </xf>
    <xf borderId="12" fillId="0" fontId="3" numFmtId="166" xfId="0" applyAlignment="1" applyBorder="1" applyFont="1" applyNumberFormat="1">
      <alignment readingOrder="0" shrinkToFit="0" vertical="center" wrapText="0"/>
    </xf>
    <xf borderId="10" fillId="0" fontId="3" numFmtId="166" xfId="0" applyAlignment="1" applyBorder="1" applyFont="1" applyNumberFormat="1">
      <alignment readingOrder="0" shrinkToFit="0" vertical="center" wrapText="0"/>
    </xf>
    <xf borderId="13" fillId="0" fontId="3" numFmtId="165" xfId="0" applyAlignment="1" applyBorder="1" applyFont="1" applyNumberFormat="1">
      <alignment readingOrder="0" shrinkToFit="0" vertical="center" wrapText="0"/>
    </xf>
    <xf borderId="14" fillId="0" fontId="3" numFmtId="0" xfId="0" applyAlignment="1" applyBorder="1" applyFont="1">
      <alignment readingOrder="0" shrinkToFit="0" vertical="center" wrapText="0"/>
    </xf>
    <xf borderId="14" fillId="0" fontId="3" numFmtId="20" xfId="0" applyAlignment="1" applyBorder="1" applyFont="1" applyNumberFormat="1">
      <alignment readingOrder="0" shrinkToFit="0" vertical="center" wrapText="0"/>
    </xf>
    <xf borderId="15" fillId="2" fontId="2" numFmtId="164" xfId="0" applyAlignment="1" applyBorder="1" applyFont="1" applyNumberFormat="1">
      <alignment horizontal="right" readingOrder="0" shrinkToFit="0" vertical="center" wrapText="0"/>
    </xf>
    <xf borderId="16" fillId="2" fontId="2" numFmtId="0" xfId="0" applyAlignment="1" applyBorder="1" applyFont="1">
      <alignment readingOrder="0" shrinkToFit="0" vertical="center" wrapText="0"/>
    </xf>
    <xf borderId="16" fillId="2" fontId="2" numFmtId="0" xfId="0" applyAlignment="1" applyBorder="1" applyFont="1">
      <alignment horizontal="right" readingOrder="0" shrinkToFit="0" vertical="center" wrapText="0"/>
    </xf>
    <xf borderId="16" fillId="2" fontId="2" numFmtId="20" xfId="0" applyAlignment="1" applyBorder="1" applyFont="1" applyNumberFormat="1">
      <alignment horizontal="right" readingOrder="0" shrinkToFit="0" vertical="center" wrapText="0"/>
    </xf>
    <xf borderId="17" fillId="2" fontId="2" numFmtId="0" xfId="0" applyAlignment="1" applyBorder="1" applyFont="1">
      <alignment readingOrder="0" shrinkToFit="0" vertical="center" wrapText="0"/>
    </xf>
    <xf borderId="4" fillId="0" fontId="3" numFmtId="165" xfId="0" applyAlignment="1" applyBorder="1" applyFont="1" applyNumberFormat="1">
      <alignment readingOrder="0" shrinkToFit="0" vertical="center" wrapText="0"/>
    </xf>
    <xf borderId="7" fillId="0" fontId="3" numFmtId="165" xfId="0" applyAlignment="1" applyBorder="1" applyFont="1" applyNumberFormat="1">
      <alignment readingOrder="0" shrinkToFit="0" vertical="center" wrapText="0"/>
    </xf>
    <xf borderId="4" fillId="0" fontId="3" numFmtId="166" xfId="0" applyAlignment="1" applyBorder="1" applyFont="1" applyNumberFormat="1">
      <alignment readingOrder="0" shrinkToFit="0" vertical="center" wrapText="0"/>
    </xf>
    <xf borderId="7" fillId="0" fontId="3" numFmtId="166" xfId="0" applyAlignment="1" applyBorder="1" applyFont="1" applyNumberFormat="1">
      <alignment readingOrder="0" shrinkToFit="0" vertical="center" wrapText="0"/>
    </xf>
    <xf borderId="18" fillId="0" fontId="3" numFmtId="165" xfId="0" applyAlignment="1" applyBorder="1" applyFont="1" applyNumberFormat="1">
      <alignment readingOrder="0" shrinkToFit="0" vertical="center" wrapText="0"/>
    </xf>
    <xf borderId="19" fillId="0" fontId="3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3" pivot="0" name="Sperm_Cell_Count-style">
      <tableStyleElement dxfId="1" type="headerRow"/>
      <tableStyleElement dxfId="2" type="firstRowStripe"/>
      <tableStyleElement dxfId="3" type="secondRowStripe"/>
    </tableStyle>
    <tableStyle count="3" pivot="0" name="Sheet3-style">
      <tableStyleElement dxfId="1" type="headerRow"/>
      <tableStyleElement dxfId="2" type="firstRowStripe"/>
      <tableStyleElement dxfId="3" type="secondRowStripe"/>
    </tableStyle>
    <tableStyle count="3" pivot="0" name="Sperm_Cell_Conditioning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U31" displayName="Table1" name="Table1" id="1">
  <tableColumns count="21">
    <tableColumn name="Date:" id="1"/>
    <tableColumn name="ID" id="2"/>
    <tableColumn name="Tank #" id="3"/>
    <tableColumn name="Weight (g)" id="4"/>
    <tableColumn name="Group" id="5"/>
    <tableColumn name="Hormone" id="6"/>
    <tableColumn name="Concentration (uL)" id="7"/>
    <tableColumn name="Volume Injected. (uL)" id="8"/>
    <tableColumn name="Room Temperature °C" id="9"/>
    <tableColumn name="Inject Time: " id="10"/>
    <tableColumn name="Collection" id="11"/>
    <tableColumn name="Time" id="12"/>
    <tableColumn name="Spermic Urine Volume (uL)" id="13"/>
    <tableColumn name="Concentration" id="14"/>
    <tableColumn name="pH" id="15"/>
    <tableColumn name="Motility(%)" id="16"/>
    <tableColumn name="FPM(%)" id="17"/>
    <tableColumn name="FPM" id="18"/>
    <tableColumn name="TW" id="19"/>
    <tableColumn name="IM" id="20"/>
    <tableColumn name="Comments" id="21"/>
  </tableColumns>
  <tableStyleInfo name="Sperm_Cell_Count-style" showColumnStripes="0" showFirstColumn="1" showLastColumn="1" showRowStripes="1"/>
</table>
</file>

<file path=xl/tables/table2.xml><?xml version="1.0" encoding="utf-8"?>
<table xmlns="http://schemas.openxmlformats.org/spreadsheetml/2006/main" ref="A1:U4" displayName="Table3" name="Table3" id="2">
  <tableColumns count="21">
    <tableColumn name="Date:" id="1"/>
    <tableColumn name="ID" id="2"/>
    <tableColumn name="Tank #" id="3"/>
    <tableColumn name="Weight (g)" id="4"/>
    <tableColumn name="Group" id="5"/>
    <tableColumn name="Hormone" id="6"/>
    <tableColumn name="Concentration (uL)" id="7"/>
    <tableColumn name="Volume Injected. (uL)" id="8"/>
    <tableColumn name="Room Temperature °C" id="9"/>
    <tableColumn name="Inject Time: " id="10"/>
    <tableColumn name="Collection" id="11"/>
    <tableColumn name="Time" id="12"/>
    <tableColumn name="Spermic Urine Volume (uL)" id="13"/>
    <tableColumn name="Concentration" id="14"/>
    <tableColumn name="pH" id="15"/>
    <tableColumn name="Motility(%)" id="16"/>
    <tableColumn name="FPM(%)" id="17"/>
    <tableColumn name="FPM" id="18"/>
    <tableColumn name="TW" id="19"/>
    <tableColumn name="IM" id="20"/>
    <tableColumn name="Comments" id="21"/>
  </tableColumns>
  <tableStyleInfo name="Sheet3-style" showColumnStripes="0" showFirstColumn="1" showLastColumn="1" showRowStripes="1"/>
</table>
</file>

<file path=xl/tables/table3.xml><?xml version="1.0" encoding="utf-8"?>
<table xmlns="http://schemas.openxmlformats.org/spreadsheetml/2006/main" ref="A1:G55" displayName="Table2" name="Table2" id="3">
  <tableColumns count="7">
    <tableColumn name="Date" id="1"/>
    <tableColumn name="Cryoprotectant" id="2"/>
    <tableColumn name="Sample Code" id="3"/>
    <tableColumn name="Time Lapse" id="4"/>
    <tableColumn name="Motility (%)" id="5"/>
    <tableColumn name="Cell Count" id="6"/>
    <tableColumn name="Observations" id="7"/>
  </tableColumns>
  <tableStyleInfo name="Sperm_Cell_Condition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0.5"/>
    <col customWidth="1" min="4" max="4" width="13.25"/>
    <col customWidth="1" min="5" max="5" width="10.0"/>
    <col customWidth="1" min="7" max="7" width="19.5"/>
    <col customWidth="1" min="8" max="8" width="21.5"/>
    <col customWidth="1" min="9" max="9" width="22.0"/>
    <col customWidth="1" min="10" max="10" width="18.0"/>
    <col customWidth="1" min="11" max="11" width="13.0"/>
    <col customWidth="1" min="12" max="12" width="6.38"/>
    <col customWidth="1" min="13" max="13" width="25.63"/>
    <col customWidth="1" min="14" max="15" width="16.13"/>
    <col customWidth="1" min="16" max="16" width="13.63"/>
    <col customWidth="1" min="17" max="17" width="11.38"/>
    <col customWidth="1" min="18" max="18" width="4.5"/>
    <col customWidth="1" min="19" max="20" width="4.13"/>
    <col customWidth="1" min="21" max="21" width="20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4" t="s">
        <v>20</v>
      </c>
    </row>
    <row r="2">
      <c r="A2" s="5">
        <v>45790.0</v>
      </c>
      <c r="B2" s="6" t="s">
        <v>21</v>
      </c>
      <c r="C2" s="6" t="s">
        <v>22</v>
      </c>
      <c r="D2" s="7">
        <v>1.938</v>
      </c>
      <c r="E2" s="6" t="s">
        <v>23</v>
      </c>
      <c r="F2" s="6" t="s">
        <v>24</v>
      </c>
      <c r="G2" s="7">
        <v>1.5</v>
      </c>
      <c r="H2" s="7">
        <v>19.4</v>
      </c>
      <c r="I2" s="7">
        <v>18.0</v>
      </c>
      <c r="J2" s="8">
        <v>0.5069444444444444</v>
      </c>
      <c r="K2" s="6" t="s">
        <v>25</v>
      </c>
      <c r="L2" s="8">
        <v>0.5833333333333334</v>
      </c>
      <c r="M2" s="7">
        <v>45.0</v>
      </c>
      <c r="N2" s="7">
        <f>1.1*10^6</f>
        <v>1100000</v>
      </c>
      <c r="O2" s="7" t="str">
        <f>"+"&amp;7</f>
        <v>+7</v>
      </c>
      <c r="P2" s="7">
        <v>98.0</v>
      </c>
      <c r="Q2" s="7">
        <v>50.0</v>
      </c>
      <c r="R2" s="7">
        <v>49.0</v>
      </c>
      <c r="S2" s="7">
        <v>49.0</v>
      </c>
      <c r="T2" s="7">
        <v>2.0</v>
      </c>
      <c r="U2" s="9" t="s">
        <v>26</v>
      </c>
    </row>
    <row r="3">
      <c r="A3" s="10">
        <v>45790.0</v>
      </c>
      <c r="B3" s="11" t="s">
        <v>21</v>
      </c>
      <c r="C3" s="11" t="s">
        <v>22</v>
      </c>
      <c r="D3" s="12">
        <v>1.938</v>
      </c>
      <c r="E3" s="11" t="s">
        <v>23</v>
      </c>
      <c r="F3" s="11" t="s">
        <v>24</v>
      </c>
      <c r="G3" s="12">
        <v>1.5</v>
      </c>
      <c r="H3" s="12">
        <v>19.4</v>
      </c>
      <c r="I3" s="12">
        <v>18.0</v>
      </c>
      <c r="J3" s="13">
        <v>0.5069444444444444</v>
      </c>
      <c r="K3" s="11" t="s">
        <v>27</v>
      </c>
      <c r="L3" s="13">
        <v>0.5347222222222222</v>
      </c>
      <c r="M3" s="12">
        <v>5.5</v>
      </c>
      <c r="N3" s="12">
        <f>1.2*10^6</f>
        <v>1200000</v>
      </c>
      <c r="O3" s="12"/>
      <c r="P3" s="12">
        <v>79.0</v>
      </c>
      <c r="Q3" s="12">
        <v>14.4</v>
      </c>
      <c r="R3" s="12">
        <v>10.0</v>
      </c>
      <c r="S3" s="12">
        <v>69.0</v>
      </c>
      <c r="T3" s="12">
        <v>21.0</v>
      </c>
      <c r="U3" s="14" t="s">
        <v>28</v>
      </c>
    </row>
    <row r="4">
      <c r="A4" s="5">
        <v>45790.0</v>
      </c>
      <c r="B4" s="6" t="s">
        <v>21</v>
      </c>
      <c r="C4" s="6" t="s">
        <v>22</v>
      </c>
      <c r="D4" s="7">
        <v>1.938</v>
      </c>
      <c r="E4" s="6" t="s">
        <v>23</v>
      </c>
      <c r="F4" s="6" t="s">
        <v>24</v>
      </c>
      <c r="G4" s="7">
        <v>1.5</v>
      </c>
      <c r="H4" s="7">
        <v>19.4</v>
      </c>
      <c r="I4" s="7">
        <v>18.0</v>
      </c>
      <c r="J4" s="8">
        <v>0.5069444444444444</v>
      </c>
      <c r="K4" s="6" t="s">
        <v>29</v>
      </c>
      <c r="L4" s="8">
        <v>0.4791666666666667</v>
      </c>
      <c r="M4" s="7">
        <v>12.0</v>
      </c>
      <c r="N4" s="7">
        <v>0.0</v>
      </c>
      <c r="O4" s="7"/>
      <c r="P4" s="7">
        <v>0.0</v>
      </c>
      <c r="Q4" s="7">
        <v>0.0</v>
      </c>
      <c r="R4" s="7">
        <v>0.0</v>
      </c>
      <c r="S4" s="7">
        <v>0.0</v>
      </c>
      <c r="T4" s="7">
        <v>0.0</v>
      </c>
      <c r="U4" s="9" t="s">
        <v>30</v>
      </c>
    </row>
    <row r="5">
      <c r="A5" s="15">
        <v>45786.0</v>
      </c>
      <c r="B5" s="16" t="s">
        <v>31</v>
      </c>
      <c r="C5" s="16" t="s">
        <v>22</v>
      </c>
      <c r="D5" s="17">
        <v>2.556</v>
      </c>
      <c r="E5" s="16" t="s">
        <v>23</v>
      </c>
      <c r="F5" s="16" t="s">
        <v>24</v>
      </c>
      <c r="G5" s="17">
        <v>1.6</v>
      </c>
      <c r="H5" s="17">
        <v>15.5</v>
      </c>
      <c r="I5" s="17">
        <v>18.0</v>
      </c>
      <c r="J5" s="18">
        <v>0.4201388888888889</v>
      </c>
      <c r="K5" s="11" t="s">
        <v>25</v>
      </c>
      <c r="L5" s="13">
        <v>0.5486111111111112</v>
      </c>
      <c r="M5" s="12">
        <v>24.0</v>
      </c>
      <c r="N5" s="12">
        <v>2100000.0</v>
      </c>
      <c r="O5" s="12"/>
      <c r="P5" s="12">
        <v>91.0</v>
      </c>
      <c r="Q5" s="12">
        <v>91.0</v>
      </c>
      <c r="R5" s="12">
        <v>72.0</v>
      </c>
      <c r="S5" s="12">
        <v>19.0</v>
      </c>
      <c r="T5" s="12">
        <v>9.0</v>
      </c>
      <c r="U5" s="14" t="s">
        <v>32</v>
      </c>
    </row>
    <row r="6">
      <c r="A6" s="19">
        <v>45786.0</v>
      </c>
      <c r="B6" s="20" t="s">
        <v>31</v>
      </c>
      <c r="C6" s="20" t="s">
        <v>22</v>
      </c>
      <c r="D6" s="20">
        <v>2.556</v>
      </c>
      <c r="E6" s="20" t="s">
        <v>23</v>
      </c>
      <c r="F6" s="20" t="s">
        <v>24</v>
      </c>
      <c r="G6" s="20">
        <v>1.6</v>
      </c>
      <c r="H6" s="20">
        <v>15.5</v>
      </c>
      <c r="I6" s="20">
        <v>18.0</v>
      </c>
      <c r="J6" s="21">
        <v>0.4201388888888889</v>
      </c>
      <c r="K6" s="20" t="s">
        <v>27</v>
      </c>
      <c r="L6" s="13">
        <v>0.4930555555555556</v>
      </c>
      <c r="M6" s="12">
        <v>9.0</v>
      </c>
      <c r="N6" s="12">
        <f>1.7*10^6</f>
        <v>1700000</v>
      </c>
      <c r="O6" s="12"/>
      <c r="P6" s="12">
        <v>90.0</v>
      </c>
      <c r="Q6" s="12">
        <v>79.0</v>
      </c>
      <c r="R6" s="12">
        <v>71.0</v>
      </c>
      <c r="S6" s="12">
        <v>19.0</v>
      </c>
      <c r="T6" s="12">
        <v>10.0</v>
      </c>
      <c r="U6" s="22" t="s">
        <v>33</v>
      </c>
    </row>
    <row r="7">
      <c r="A7" s="23">
        <v>45786.0</v>
      </c>
      <c r="B7" s="24" t="s">
        <v>31</v>
      </c>
      <c r="C7" s="24" t="s">
        <v>22</v>
      </c>
      <c r="D7" s="24">
        <v>2.556</v>
      </c>
      <c r="E7" s="24" t="s">
        <v>23</v>
      </c>
      <c r="F7" s="24" t="s">
        <v>24</v>
      </c>
      <c r="G7" s="24">
        <v>1.6</v>
      </c>
      <c r="H7" s="24">
        <v>15.5</v>
      </c>
      <c r="I7" s="24">
        <v>18.0</v>
      </c>
      <c r="J7" s="25">
        <v>0.4201388888888889</v>
      </c>
      <c r="K7" s="24" t="s">
        <v>29</v>
      </c>
      <c r="L7" s="25">
        <v>0.4409722222222222</v>
      </c>
      <c r="M7" s="24">
        <v>4.0</v>
      </c>
      <c r="N7" s="24">
        <v>0.0</v>
      </c>
      <c r="O7" s="24"/>
      <c r="P7" s="24">
        <v>0.0</v>
      </c>
      <c r="Q7" s="24">
        <v>0.0</v>
      </c>
      <c r="R7" s="24">
        <v>0.0</v>
      </c>
      <c r="S7" s="24">
        <v>0.0</v>
      </c>
      <c r="T7" s="24">
        <v>0.0</v>
      </c>
      <c r="U7" s="26" t="s">
        <v>33</v>
      </c>
    </row>
    <row r="8">
      <c r="A8" s="19">
        <v>45783.0</v>
      </c>
      <c r="B8" s="20" t="s">
        <v>34</v>
      </c>
      <c r="C8" s="20" t="s">
        <v>35</v>
      </c>
      <c r="D8" s="20">
        <v>2.485</v>
      </c>
      <c r="E8" s="20" t="s">
        <v>23</v>
      </c>
      <c r="F8" s="20" t="s">
        <v>24</v>
      </c>
      <c r="G8" s="20">
        <v>1.9</v>
      </c>
      <c r="H8" s="20">
        <v>24.5</v>
      </c>
      <c r="I8" s="20">
        <v>18.0</v>
      </c>
      <c r="J8" s="21">
        <v>0.4131944444444444</v>
      </c>
      <c r="K8" s="20" t="s">
        <v>29</v>
      </c>
      <c r="L8" s="21">
        <v>0.4340277777777778</v>
      </c>
      <c r="M8" s="20">
        <v>24.0</v>
      </c>
      <c r="N8" s="20">
        <v>0.0</v>
      </c>
      <c r="O8" s="20"/>
      <c r="P8" s="20">
        <v>0.0</v>
      </c>
      <c r="Q8" s="20">
        <v>0.0</v>
      </c>
      <c r="R8" s="20">
        <v>0.0</v>
      </c>
      <c r="S8" s="20">
        <v>0.0</v>
      </c>
      <c r="T8" s="20">
        <v>0.0</v>
      </c>
      <c r="U8" s="27" t="s">
        <v>36</v>
      </c>
    </row>
    <row r="9">
      <c r="A9" s="23">
        <v>45783.0</v>
      </c>
      <c r="B9" s="24" t="s">
        <v>34</v>
      </c>
      <c r="C9" s="24" t="s">
        <v>35</v>
      </c>
      <c r="D9" s="24">
        <v>2.485</v>
      </c>
      <c r="E9" s="24" t="s">
        <v>23</v>
      </c>
      <c r="F9" s="24" t="s">
        <v>24</v>
      </c>
      <c r="G9" s="24">
        <v>1.9</v>
      </c>
      <c r="H9" s="24">
        <v>24.5</v>
      </c>
      <c r="I9" s="24">
        <v>18.0</v>
      </c>
      <c r="J9" s="25">
        <v>0.4131944444444444</v>
      </c>
      <c r="K9" s="24" t="s">
        <v>27</v>
      </c>
      <c r="L9" s="24" t="s">
        <v>37</v>
      </c>
      <c r="M9" s="24">
        <v>0.0</v>
      </c>
      <c r="N9" s="24">
        <v>0.0</v>
      </c>
      <c r="O9" s="24"/>
      <c r="P9" s="24">
        <v>0.0</v>
      </c>
      <c r="Q9" s="24">
        <v>0.0</v>
      </c>
      <c r="R9" s="24">
        <v>0.0</v>
      </c>
      <c r="S9" s="24">
        <v>0.0</v>
      </c>
      <c r="T9" s="24">
        <v>0.0</v>
      </c>
      <c r="U9" s="26">
        <v>0.0</v>
      </c>
    </row>
    <row r="10">
      <c r="A10" s="19">
        <v>45783.0</v>
      </c>
      <c r="B10" s="20" t="s">
        <v>34</v>
      </c>
      <c r="C10" s="20" t="s">
        <v>35</v>
      </c>
      <c r="D10" s="20">
        <v>2.485</v>
      </c>
      <c r="E10" s="20" t="s">
        <v>23</v>
      </c>
      <c r="F10" s="20" t="s">
        <v>24</v>
      </c>
      <c r="G10" s="20">
        <v>1.9</v>
      </c>
      <c r="H10" s="20">
        <v>24.5</v>
      </c>
      <c r="I10" s="20">
        <v>18.0</v>
      </c>
      <c r="J10" s="21">
        <v>0.4131944444444444</v>
      </c>
      <c r="K10" s="20" t="s">
        <v>25</v>
      </c>
      <c r="L10" s="20" t="s">
        <v>38</v>
      </c>
      <c r="M10" s="20">
        <v>20.0</v>
      </c>
      <c r="N10" s="20">
        <f>1.57*10^6</f>
        <v>1570000</v>
      </c>
      <c r="O10" s="20"/>
      <c r="P10" s="20">
        <v>89.0</v>
      </c>
      <c r="Q10" s="20">
        <v>93.0</v>
      </c>
      <c r="R10" s="20">
        <v>83.0</v>
      </c>
      <c r="S10" s="20">
        <v>6.0</v>
      </c>
      <c r="T10" s="20">
        <v>11.0</v>
      </c>
      <c r="U10" s="27" t="s">
        <v>39</v>
      </c>
    </row>
    <row r="11">
      <c r="A11" s="28">
        <v>45776.0</v>
      </c>
      <c r="B11" s="24" t="s">
        <v>40</v>
      </c>
      <c r="C11" s="24" t="s">
        <v>22</v>
      </c>
      <c r="D11" s="24">
        <v>2.157</v>
      </c>
      <c r="E11" s="24" t="s">
        <v>23</v>
      </c>
      <c r="F11" s="24" t="s">
        <v>24</v>
      </c>
      <c r="G11" s="24">
        <v>1.7</v>
      </c>
      <c r="H11" s="24">
        <v>21.6</v>
      </c>
      <c r="I11" s="24">
        <v>18.0</v>
      </c>
      <c r="J11" s="24" t="s">
        <v>41</v>
      </c>
      <c r="K11" s="29" t="s">
        <v>29</v>
      </c>
      <c r="L11" s="29" t="s">
        <v>42</v>
      </c>
      <c r="M11" s="29">
        <v>3.5</v>
      </c>
      <c r="N11" s="30">
        <f>2.88*10^5</f>
        <v>288000</v>
      </c>
      <c r="O11" s="30"/>
      <c r="P11" s="29">
        <v>79.0</v>
      </c>
      <c r="Q11" s="29">
        <v>72.0</v>
      </c>
      <c r="R11" s="29">
        <v>57.0</v>
      </c>
      <c r="S11" s="29">
        <v>22.0</v>
      </c>
      <c r="T11" s="29">
        <v>21.0</v>
      </c>
      <c r="U11" s="29" t="s">
        <v>43</v>
      </c>
    </row>
    <row r="12">
      <c r="A12" s="31">
        <v>45776.0</v>
      </c>
      <c r="B12" s="20" t="s">
        <v>40</v>
      </c>
      <c r="C12" s="20" t="s">
        <v>22</v>
      </c>
      <c r="D12" s="20">
        <v>2.157</v>
      </c>
      <c r="E12" s="20" t="s">
        <v>23</v>
      </c>
      <c r="F12" s="20" t="s">
        <v>24</v>
      </c>
      <c r="G12" s="20">
        <v>1.7</v>
      </c>
      <c r="H12" s="20">
        <v>21.6</v>
      </c>
      <c r="I12" s="20">
        <v>18.0</v>
      </c>
      <c r="J12" s="21">
        <v>0.4791666666666667</v>
      </c>
      <c r="K12" s="29" t="s">
        <v>29</v>
      </c>
      <c r="L12" s="32">
        <v>0.5486111111111112</v>
      </c>
      <c r="M12" s="29">
        <v>45.0</v>
      </c>
      <c r="N12" s="29">
        <f>2.93*10^5</f>
        <v>293000</v>
      </c>
      <c r="O12" s="29"/>
      <c r="P12" s="29">
        <v>78.0</v>
      </c>
      <c r="Q12" s="29">
        <v>63.0</v>
      </c>
      <c r="R12" s="29">
        <v>63.0</v>
      </c>
      <c r="S12" s="29">
        <v>29.0</v>
      </c>
      <c r="T12" s="29">
        <v>22.0</v>
      </c>
      <c r="U12" s="30"/>
    </row>
    <row r="13">
      <c r="A13" s="28">
        <v>45776.0</v>
      </c>
      <c r="B13" s="24" t="s">
        <v>40</v>
      </c>
      <c r="C13" s="24" t="s">
        <v>22</v>
      </c>
      <c r="D13" s="24">
        <v>2.157</v>
      </c>
      <c r="E13" s="24" t="s">
        <v>23</v>
      </c>
      <c r="F13" s="24" t="s">
        <v>24</v>
      </c>
      <c r="G13" s="24">
        <v>1.7</v>
      </c>
      <c r="H13" s="24">
        <v>21.6</v>
      </c>
      <c r="I13" s="24">
        <v>18.0</v>
      </c>
      <c r="J13" s="25">
        <v>0.4791666666666667</v>
      </c>
      <c r="K13" s="29" t="s">
        <v>25</v>
      </c>
      <c r="L13" s="32">
        <v>0.5972222222222222</v>
      </c>
      <c r="M13" s="29">
        <v>18.0</v>
      </c>
      <c r="N13" s="29">
        <f>1.41*10^6</f>
        <v>1410000</v>
      </c>
      <c r="O13" s="29"/>
      <c r="P13" s="29">
        <v>85.0</v>
      </c>
      <c r="Q13" s="29">
        <v>74.0</v>
      </c>
      <c r="R13" s="29">
        <v>74.0</v>
      </c>
      <c r="S13" s="29">
        <v>22.0</v>
      </c>
      <c r="T13" s="29">
        <v>15.0</v>
      </c>
      <c r="U13" s="29" t="s">
        <v>44</v>
      </c>
    </row>
    <row r="14">
      <c r="A14" s="31">
        <v>45749.0</v>
      </c>
      <c r="B14" s="20" t="s">
        <v>45</v>
      </c>
      <c r="C14" s="20" t="s">
        <v>45</v>
      </c>
      <c r="D14" s="20">
        <v>2.0</v>
      </c>
      <c r="E14" s="20" t="s">
        <v>23</v>
      </c>
      <c r="F14" s="20" t="s">
        <v>24</v>
      </c>
      <c r="G14" s="20">
        <v>1.5</v>
      </c>
      <c r="H14" s="20">
        <v>20.0</v>
      </c>
      <c r="I14" s="20">
        <v>18.0</v>
      </c>
      <c r="J14" s="21">
        <v>0.42083333333333334</v>
      </c>
      <c r="K14" s="29" t="s">
        <v>29</v>
      </c>
      <c r="L14" s="32">
        <v>0.44166666666666665</v>
      </c>
      <c r="M14" s="29">
        <v>100.0</v>
      </c>
      <c r="N14" s="29">
        <v>0.0</v>
      </c>
      <c r="O14" s="29"/>
      <c r="P14" s="29">
        <v>0.0</v>
      </c>
      <c r="Q14" s="29">
        <v>0.0</v>
      </c>
      <c r="R14" s="29">
        <v>0.0</v>
      </c>
      <c r="S14" s="29">
        <v>0.0</v>
      </c>
      <c r="T14" s="29">
        <v>0.0</v>
      </c>
      <c r="U14" s="29" t="s">
        <v>46</v>
      </c>
    </row>
    <row r="15">
      <c r="A15" s="28">
        <v>45749.0</v>
      </c>
      <c r="B15" s="24" t="s">
        <v>45</v>
      </c>
      <c r="C15" s="24" t="s">
        <v>45</v>
      </c>
      <c r="D15" s="24">
        <v>2.0</v>
      </c>
      <c r="E15" s="24" t="s">
        <v>23</v>
      </c>
      <c r="F15" s="24" t="s">
        <v>24</v>
      </c>
      <c r="G15" s="24">
        <v>1.5</v>
      </c>
      <c r="H15" s="24">
        <v>20.0</v>
      </c>
      <c r="I15" s="24">
        <v>18.0</v>
      </c>
      <c r="J15" s="25">
        <v>0.42083333333333334</v>
      </c>
      <c r="K15" s="29" t="s">
        <v>27</v>
      </c>
      <c r="L15" s="32">
        <v>0.4861111111111111</v>
      </c>
      <c r="M15" s="29">
        <v>45.0</v>
      </c>
      <c r="N15" s="30">
        <f>1.6*10^5</f>
        <v>160000</v>
      </c>
      <c r="O15" s="30"/>
      <c r="P15" s="29">
        <v>98.0</v>
      </c>
      <c r="Q15" s="29">
        <v>77.0</v>
      </c>
      <c r="R15" s="29">
        <v>75.0</v>
      </c>
      <c r="S15" s="29">
        <v>23.0</v>
      </c>
      <c r="T15" s="29">
        <v>2.0</v>
      </c>
      <c r="U15" s="29" t="s">
        <v>47</v>
      </c>
    </row>
    <row r="16">
      <c r="A16" s="31">
        <v>45749.0</v>
      </c>
      <c r="B16" s="20" t="s">
        <v>45</v>
      </c>
      <c r="C16" s="20" t="s">
        <v>45</v>
      </c>
      <c r="D16" s="20">
        <v>2.0</v>
      </c>
      <c r="E16" s="20" t="s">
        <v>23</v>
      </c>
      <c r="F16" s="20" t="s">
        <v>24</v>
      </c>
      <c r="G16" s="20">
        <v>1.5</v>
      </c>
      <c r="H16" s="20">
        <v>20.0</v>
      </c>
      <c r="I16" s="20">
        <v>18.0</v>
      </c>
      <c r="J16" s="21">
        <v>0.42083333333333334</v>
      </c>
      <c r="K16" s="29" t="s">
        <v>25</v>
      </c>
      <c r="L16" s="32">
        <v>0.5458333333333333</v>
      </c>
      <c r="M16" s="29">
        <v>14.0</v>
      </c>
      <c r="N16" s="29">
        <f>1*10^5</f>
        <v>100000</v>
      </c>
      <c r="O16" s="29"/>
      <c r="P16" s="29">
        <v>54.0</v>
      </c>
      <c r="Q16" s="29">
        <v>52.0</v>
      </c>
      <c r="R16" s="29">
        <v>28.0</v>
      </c>
      <c r="S16" s="29">
        <v>26.0</v>
      </c>
      <c r="T16" s="29">
        <v>7.0</v>
      </c>
      <c r="U16" s="29" t="s">
        <v>48</v>
      </c>
    </row>
    <row r="17">
      <c r="A17" s="28">
        <v>45749.0</v>
      </c>
      <c r="B17" s="24" t="s">
        <v>45</v>
      </c>
      <c r="C17" s="24" t="s">
        <v>45</v>
      </c>
      <c r="D17" s="24">
        <v>2.0</v>
      </c>
      <c r="E17" s="24" t="s">
        <v>23</v>
      </c>
      <c r="F17" s="24" t="s">
        <v>24</v>
      </c>
      <c r="G17" s="24">
        <v>1.5</v>
      </c>
      <c r="H17" s="24">
        <v>20.0</v>
      </c>
      <c r="I17" s="24">
        <v>18.0</v>
      </c>
      <c r="J17" s="25">
        <v>0.42083333333333334</v>
      </c>
      <c r="K17" s="29" t="s">
        <v>49</v>
      </c>
      <c r="L17" s="32">
        <v>0.5875</v>
      </c>
      <c r="M17" s="29">
        <v>10.0</v>
      </c>
      <c r="N17" s="30">
        <f>8.9*105</f>
        <v>934.5</v>
      </c>
      <c r="O17" s="30"/>
      <c r="P17" s="29">
        <v>85.0</v>
      </c>
      <c r="Q17" s="29">
        <v>65.0</v>
      </c>
      <c r="R17" s="29">
        <v>55.0</v>
      </c>
      <c r="S17" s="29">
        <v>30.0</v>
      </c>
      <c r="T17" s="29">
        <v>15.0</v>
      </c>
      <c r="U17" s="29" t="s">
        <v>50</v>
      </c>
    </row>
    <row r="18">
      <c r="A18" s="33">
        <v>45748.0</v>
      </c>
      <c r="B18" s="20" t="s">
        <v>45</v>
      </c>
      <c r="C18" s="20" t="s">
        <v>45</v>
      </c>
      <c r="D18" s="20">
        <v>1.94</v>
      </c>
      <c r="E18" s="20" t="s">
        <v>23</v>
      </c>
      <c r="F18" s="20" t="s">
        <v>24</v>
      </c>
      <c r="G18" s="20">
        <v>1.5</v>
      </c>
      <c r="H18" s="20">
        <v>19.4</v>
      </c>
      <c r="I18" s="20">
        <v>18.0</v>
      </c>
      <c r="J18" s="21">
        <v>0.40902777777777777</v>
      </c>
      <c r="K18" s="29" t="s">
        <v>29</v>
      </c>
      <c r="L18" s="32">
        <v>0.42986111111111114</v>
      </c>
      <c r="M18" s="29">
        <v>7.0</v>
      </c>
      <c r="N18" s="30">
        <f>2.6*10^5</f>
        <v>260000</v>
      </c>
      <c r="O18" s="30"/>
      <c r="P18" s="29">
        <v>82.0</v>
      </c>
      <c r="Q18" s="29">
        <v>65.0</v>
      </c>
      <c r="R18" s="29">
        <v>52.0</v>
      </c>
      <c r="S18" s="29">
        <v>30.0</v>
      </c>
      <c r="T18" s="29">
        <v>18.0</v>
      </c>
      <c r="U18" s="29" t="s">
        <v>51</v>
      </c>
    </row>
    <row r="19">
      <c r="A19" s="34">
        <v>45748.0</v>
      </c>
      <c r="B19" s="24" t="s">
        <v>45</v>
      </c>
      <c r="C19" s="24" t="s">
        <v>45</v>
      </c>
      <c r="D19" s="24">
        <v>1.94</v>
      </c>
      <c r="E19" s="24" t="s">
        <v>23</v>
      </c>
      <c r="F19" s="24" t="s">
        <v>24</v>
      </c>
      <c r="G19" s="24">
        <v>1.5</v>
      </c>
      <c r="H19" s="24">
        <v>19.4</v>
      </c>
      <c r="I19" s="24">
        <v>18.0</v>
      </c>
      <c r="J19" s="25">
        <v>0.40902777777777777</v>
      </c>
      <c r="K19" s="29" t="s">
        <v>27</v>
      </c>
      <c r="L19" s="32">
        <v>0.4722222222222222</v>
      </c>
      <c r="M19" s="29">
        <v>11.0</v>
      </c>
      <c r="N19" s="30">
        <f>1.5*10^6</f>
        <v>1500000</v>
      </c>
      <c r="O19" s="30"/>
      <c r="P19" s="29">
        <v>94.0</v>
      </c>
      <c r="Q19" s="29">
        <v>70.0</v>
      </c>
      <c r="R19" s="29">
        <v>66.0</v>
      </c>
      <c r="S19" s="29">
        <v>28.0</v>
      </c>
      <c r="T19" s="29">
        <v>6.0</v>
      </c>
      <c r="U19" s="29" t="s">
        <v>52</v>
      </c>
    </row>
    <row r="20">
      <c r="A20" s="33">
        <v>45748.0</v>
      </c>
      <c r="B20" s="20" t="s">
        <v>45</v>
      </c>
      <c r="C20" s="20" t="s">
        <v>45</v>
      </c>
      <c r="D20" s="20">
        <v>1.94</v>
      </c>
      <c r="E20" s="20" t="s">
        <v>23</v>
      </c>
      <c r="F20" s="20" t="s">
        <v>24</v>
      </c>
      <c r="G20" s="20">
        <v>1.5</v>
      </c>
      <c r="H20" s="20">
        <v>19.4</v>
      </c>
      <c r="I20" s="20">
        <v>18.0</v>
      </c>
      <c r="J20" s="21">
        <v>0.40902777777777777</v>
      </c>
      <c r="K20" s="29" t="s">
        <v>25</v>
      </c>
      <c r="L20" s="32">
        <v>0.5173611111111112</v>
      </c>
      <c r="M20" s="29">
        <v>52.0</v>
      </c>
      <c r="N20" s="30">
        <f>1.7*10^6</f>
        <v>1700000</v>
      </c>
      <c r="O20" s="30"/>
      <c r="P20" s="29">
        <v>86.0</v>
      </c>
      <c r="Q20" s="29">
        <v>73.0</v>
      </c>
      <c r="R20" s="29">
        <v>63.0</v>
      </c>
      <c r="S20" s="29">
        <v>23.0</v>
      </c>
      <c r="T20" s="29">
        <v>14.0</v>
      </c>
      <c r="U20" s="30"/>
    </row>
    <row r="21">
      <c r="A21" s="34">
        <v>45748.0</v>
      </c>
      <c r="B21" s="24" t="s">
        <v>45</v>
      </c>
      <c r="C21" s="24" t="s">
        <v>45</v>
      </c>
      <c r="D21" s="24">
        <v>1.94</v>
      </c>
      <c r="E21" s="24" t="s">
        <v>23</v>
      </c>
      <c r="F21" s="24" t="s">
        <v>24</v>
      </c>
      <c r="G21" s="24">
        <v>1.5</v>
      </c>
      <c r="H21" s="24">
        <v>19.4</v>
      </c>
      <c r="I21" s="24">
        <v>18.0</v>
      </c>
      <c r="J21" s="25">
        <v>0.40902777777777777</v>
      </c>
      <c r="K21" s="29" t="s">
        <v>49</v>
      </c>
      <c r="L21" s="32">
        <v>0.5729166666666666</v>
      </c>
      <c r="M21" s="29">
        <v>48.0</v>
      </c>
      <c r="N21" s="30">
        <f>8.9*10^5</f>
        <v>890000</v>
      </c>
      <c r="O21" s="30"/>
      <c r="P21" s="29">
        <v>95.0</v>
      </c>
      <c r="Q21" s="29">
        <v>73.0</v>
      </c>
      <c r="R21" s="29">
        <v>69.0</v>
      </c>
      <c r="S21" s="29">
        <v>26.0</v>
      </c>
      <c r="T21" s="29">
        <v>5.0</v>
      </c>
      <c r="U21" s="30"/>
    </row>
    <row r="22">
      <c r="A22" s="31">
        <v>45740.0</v>
      </c>
      <c r="B22" s="20" t="s">
        <v>40</v>
      </c>
      <c r="C22" s="20" t="s">
        <v>22</v>
      </c>
      <c r="D22" s="20">
        <v>1.51</v>
      </c>
      <c r="E22" s="20" t="s">
        <v>23</v>
      </c>
      <c r="F22" s="20" t="s">
        <v>24</v>
      </c>
      <c r="G22" s="20">
        <v>1.2</v>
      </c>
      <c r="H22" s="20">
        <v>15.0</v>
      </c>
      <c r="I22" s="20">
        <v>18.0</v>
      </c>
      <c r="J22" s="21">
        <v>0.4041666666666667</v>
      </c>
      <c r="K22" s="29" t="s">
        <v>29</v>
      </c>
      <c r="L22" s="32">
        <v>0.425</v>
      </c>
      <c r="M22" s="29">
        <v>4.0</v>
      </c>
      <c r="N22" s="29">
        <v>0.0</v>
      </c>
      <c r="O22" s="29"/>
      <c r="P22" s="29">
        <v>0.0</v>
      </c>
      <c r="Q22" s="29">
        <v>0.0</v>
      </c>
      <c r="R22" s="29">
        <v>0.0</v>
      </c>
      <c r="S22" s="29">
        <v>0.0</v>
      </c>
      <c r="T22" s="29">
        <v>0.0</v>
      </c>
      <c r="U22" s="29" t="s">
        <v>53</v>
      </c>
    </row>
    <row r="23">
      <c r="A23" s="28">
        <v>45740.0</v>
      </c>
      <c r="B23" s="24" t="s">
        <v>40</v>
      </c>
      <c r="C23" s="24" t="s">
        <v>22</v>
      </c>
      <c r="D23" s="24">
        <v>1.51</v>
      </c>
      <c r="E23" s="24" t="s">
        <v>23</v>
      </c>
      <c r="F23" s="24" t="s">
        <v>24</v>
      </c>
      <c r="G23" s="24">
        <v>1.2</v>
      </c>
      <c r="H23" s="24">
        <v>15.0</v>
      </c>
      <c r="I23" s="24">
        <v>18.0</v>
      </c>
      <c r="J23" s="25">
        <v>0.4041666666666667</v>
      </c>
      <c r="K23" s="29" t="s">
        <v>27</v>
      </c>
      <c r="L23" s="32">
        <v>0.46875</v>
      </c>
      <c r="M23" s="29">
        <v>1.8</v>
      </c>
      <c r="N23" s="30">
        <f>3.8*10^6</f>
        <v>3800000</v>
      </c>
      <c r="O23" s="30"/>
      <c r="P23" s="29">
        <v>90.0</v>
      </c>
      <c r="Q23" s="29">
        <v>35.0</v>
      </c>
      <c r="R23" s="29">
        <v>32.0</v>
      </c>
      <c r="S23" s="29">
        <v>58.0</v>
      </c>
      <c r="T23" s="29">
        <v>10.0</v>
      </c>
      <c r="U23" s="29" t="s">
        <v>54</v>
      </c>
    </row>
    <row r="24">
      <c r="A24" s="31">
        <v>45740.0</v>
      </c>
      <c r="B24" s="20" t="s">
        <v>40</v>
      </c>
      <c r="C24" s="20" t="s">
        <v>22</v>
      </c>
      <c r="D24" s="20">
        <v>1.51</v>
      </c>
      <c r="E24" s="20" t="s">
        <v>23</v>
      </c>
      <c r="F24" s="20" t="s">
        <v>24</v>
      </c>
      <c r="G24" s="20">
        <v>1.2</v>
      </c>
      <c r="H24" s="20">
        <v>15.0</v>
      </c>
      <c r="I24" s="20">
        <v>18.0</v>
      </c>
      <c r="J24" s="21">
        <v>0.4041666666666667</v>
      </c>
      <c r="K24" s="29" t="s">
        <v>25</v>
      </c>
      <c r="L24" s="32">
        <v>0.5104166666666666</v>
      </c>
      <c r="M24" s="29">
        <v>6.0</v>
      </c>
      <c r="N24" s="30">
        <f>5*10^4</f>
        <v>50000</v>
      </c>
      <c r="O24" s="30"/>
      <c r="P24" s="29">
        <v>84.0</v>
      </c>
      <c r="Q24" s="29">
        <v>33.0</v>
      </c>
      <c r="R24" s="29">
        <v>22.0</v>
      </c>
      <c r="S24" s="29">
        <v>56.0</v>
      </c>
      <c r="T24" s="29">
        <v>16.0</v>
      </c>
      <c r="U24" s="29" t="s">
        <v>55</v>
      </c>
    </row>
    <row r="25">
      <c r="A25" s="28">
        <v>45740.0</v>
      </c>
      <c r="B25" s="24" t="s">
        <v>40</v>
      </c>
      <c r="C25" s="24" t="s">
        <v>22</v>
      </c>
      <c r="D25" s="24">
        <v>1.51</v>
      </c>
      <c r="E25" s="24" t="s">
        <v>23</v>
      </c>
      <c r="F25" s="24" t="s">
        <v>24</v>
      </c>
      <c r="G25" s="24">
        <v>1.2</v>
      </c>
      <c r="H25" s="24">
        <v>15.0</v>
      </c>
      <c r="I25" s="24">
        <v>18.0</v>
      </c>
      <c r="J25" s="25">
        <v>0.4041666666666667</v>
      </c>
      <c r="K25" s="29" t="s">
        <v>49</v>
      </c>
      <c r="L25" s="32">
        <v>0.5548611111111111</v>
      </c>
      <c r="M25" s="29">
        <v>35.0</v>
      </c>
      <c r="N25" s="30">
        <f>1.5*10^6</f>
        <v>1500000</v>
      </c>
      <c r="O25" s="30"/>
      <c r="P25" s="29">
        <v>73.0</v>
      </c>
      <c r="Q25" s="29">
        <v>11.0</v>
      </c>
      <c r="R25" s="29">
        <v>8.0</v>
      </c>
      <c r="S25" s="29">
        <v>65.0</v>
      </c>
      <c r="T25" s="29">
        <v>27.0</v>
      </c>
      <c r="U25" s="29" t="s">
        <v>56</v>
      </c>
    </row>
    <row r="26">
      <c r="A26" s="31">
        <v>45740.0</v>
      </c>
      <c r="B26" s="20" t="s">
        <v>40</v>
      </c>
      <c r="C26" s="20" t="s">
        <v>22</v>
      </c>
      <c r="D26" s="20">
        <v>1.51</v>
      </c>
      <c r="E26" s="20" t="s">
        <v>23</v>
      </c>
      <c r="F26" s="20" t="s">
        <v>24</v>
      </c>
      <c r="G26" s="20">
        <v>1.2</v>
      </c>
      <c r="H26" s="20">
        <v>15.0</v>
      </c>
      <c r="I26" s="20">
        <v>18.0</v>
      </c>
      <c r="J26" s="21">
        <v>0.4041666666666667</v>
      </c>
      <c r="K26" s="29" t="s">
        <v>57</v>
      </c>
      <c r="L26" s="32">
        <v>0.6006944444444444</v>
      </c>
      <c r="M26" s="29">
        <v>10.0</v>
      </c>
      <c r="N26" s="29" t="s">
        <v>45</v>
      </c>
      <c r="O26" s="29"/>
      <c r="P26" s="29">
        <v>90.0</v>
      </c>
      <c r="Q26" s="29">
        <v>80.0</v>
      </c>
      <c r="R26" s="29">
        <v>72.0</v>
      </c>
      <c r="S26" s="29">
        <v>18.0</v>
      </c>
      <c r="T26" s="29">
        <v>10.0</v>
      </c>
      <c r="U26" s="30"/>
    </row>
    <row r="27">
      <c r="A27" s="28">
        <v>45737.0</v>
      </c>
      <c r="B27" s="24" t="s">
        <v>45</v>
      </c>
      <c r="C27" s="24" t="s">
        <v>45</v>
      </c>
      <c r="D27" s="24">
        <v>1.77</v>
      </c>
      <c r="E27" s="24" t="s">
        <v>23</v>
      </c>
      <c r="F27" s="24" t="s">
        <v>24</v>
      </c>
      <c r="G27" s="24">
        <v>1.4</v>
      </c>
      <c r="H27" s="24">
        <v>17.4</v>
      </c>
      <c r="I27" s="24">
        <v>18.0</v>
      </c>
      <c r="J27" s="25">
        <v>0.34444444444444444</v>
      </c>
      <c r="K27" s="29" t="s">
        <v>29</v>
      </c>
      <c r="L27" s="32">
        <v>0.36527777777777776</v>
      </c>
      <c r="M27" s="29">
        <v>4.0</v>
      </c>
      <c r="N27" s="29">
        <v>0.0</v>
      </c>
      <c r="O27" s="29"/>
      <c r="P27" s="29">
        <v>0.0</v>
      </c>
      <c r="Q27" s="29">
        <v>0.0</v>
      </c>
      <c r="R27" s="29">
        <v>0.0</v>
      </c>
      <c r="S27" s="29">
        <v>0.0</v>
      </c>
      <c r="T27" s="29">
        <v>0.0</v>
      </c>
      <c r="U27" s="29" t="s">
        <v>58</v>
      </c>
    </row>
    <row r="28">
      <c r="A28" s="31">
        <v>45737.0</v>
      </c>
      <c r="B28" s="20" t="s">
        <v>45</v>
      </c>
      <c r="C28" s="20" t="s">
        <v>45</v>
      </c>
      <c r="D28" s="20">
        <v>1.77</v>
      </c>
      <c r="E28" s="20" t="s">
        <v>23</v>
      </c>
      <c r="F28" s="20" t="s">
        <v>24</v>
      </c>
      <c r="G28" s="20">
        <v>1.4</v>
      </c>
      <c r="H28" s="20">
        <v>17.4</v>
      </c>
      <c r="I28" s="20">
        <v>18.0</v>
      </c>
      <c r="J28" s="21">
        <v>0.34444444444444444</v>
      </c>
      <c r="K28" s="29" t="s">
        <v>27</v>
      </c>
      <c r="L28" s="32">
        <v>0.4076388888888889</v>
      </c>
      <c r="M28" s="29">
        <v>2.0</v>
      </c>
      <c r="N28" s="29">
        <v>0.0</v>
      </c>
      <c r="O28" s="29"/>
      <c r="P28" s="29">
        <v>0.0</v>
      </c>
      <c r="Q28" s="29">
        <v>0.0</v>
      </c>
      <c r="R28" s="29">
        <v>0.0</v>
      </c>
      <c r="S28" s="29">
        <v>0.0</v>
      </c>
      <c r="T28" s="29">
        <v>0.0</v>
      </c>
      <c r="U28" s="29" t="s">
        <v>59</v>
      </c>
    </row>
    <row r="29">
      <c r="A29" s="28">
        <v>45737.0</v>
      </c>
      <c r="B29" s="24" t="s">
        <v>45</v>
      </c>
      <c r="C29" s="24" t="s">
        <v>45</v>
      </c>
      <c r="D29" s="24">
        <v>1.77</v>
      </c>
      <c r="E29" s="24" t="s">
        <v>23</v>
      </c>
      <c r="F29" s="24" t="s">
        <v>24</v>
      </c>
      <c r="G29" s="24">
        <v>1.4</v>
      </c>
      <c r="H29" s="24">
        <v>17.4</v>
      </c>
      <c r="I29" s="24">
        <v>18.0</v>
      </c>
      <c r="J29" s="25">
        <v>0.34444444444444444</v>
      </c>
      <c r="K29" s="29" t="s">
        <v>25</v>
      </c>
      <c r="L29" s="32">
        <v>0.4548611111111111</v>
      </c>
      <c r="M29" s="29">
        <v>16.0</v>
      </c>
      <c r="N29" s="30">
        <f>1.2*10^5</f>
        <v>120000</v>
      </c>
      <c r="O29" s="30"/>
      <c r="P29" s="29">
        <v>90.0</v>
      </c>
      <c r="Q29" s="29">
        <v>62.0</v>
      </c>
      <c r="R29" s="29">
        <v>56.0</v>
      </c>
      <c r="S29" s="29">
        <v>34.0</v>
      </c>
      <c r="T29" s="29">
        <v>10.0</v>
      </c>
      <c r="U29" s="29" t="s">
        <v>43</v>
      </c>
    </row>
    <row r="30">
      <c r="A30" s="31">
        <v>45737.0</v>
      </c>
      <c r="B30" s="20" t="s">
        <v>45</v>
      </c>
      <c r="C30" s="20" t="s">
        <v>45</v>
      </c>
      <c r="D30" s="20">
        <v>1.77</v>
      </c>
      <c r="E30" s="20" t="s">
        <v>23</v>
      </c>
      <c r="F30" s="20" t="s">
        <v>24</v>
      </c>
      <c r="G30" s="20">
        <v>1.4</v>
      </c>
      <c r="H30" s="20">
        <v>17.4</v>
      </c>
      <c r="I30" s="20">
        <v>18.0</v>
      </c>
      <c r="J30" s="21">
        <v>0.34444444444444444</v>
      </c>
      <c r="K30" s="29" t="s">
        <v>49</v>
      </c>
      <c r="L30" s="32">
        <v>0.5034722222222222</v>
      </c>
      <c r="M30" s="29">
        <v>11.0</v>
      </c>
      <c r="N30" s="30">
        <f>4.41*10^6</f>
        <v>4410000</v>
      </c>
      <c r="O30" s="30"/>
      <c r="P30" s="29">
        <v>85.0</v>
      </c>
      <c r="Q30" s="29">
        <v>51.0</v>
      </c>
      <c r="R30" s="29">
        <v>43.0</v>
      </c>
      <c r="S30" s="29">
        <v>42.0</v>
      </c>
      <c r="T30" s="29">
        <v>15.0</v>
      </c>
      <c r="U30" s="29" t="s">
        <v>60</v>
      </c>
    </row>
    <row r="31">
      <c r="A31" s="35">
        <v>45737.0</v>
      </c>
      <c r="B31" s="36" t="s">
        <v>45</v>
      </c>
      <c r="C31" s="36" t="s">
        <v>45</v>
      </c>
      <c r="D31" s="36">
        <v>1.77</v>
      </c>
      <c r="E31" s="36" t="s">
        <v>23</v>
      </c>
      <c r="F31" s="36" t="s">
        <v>24</v>
      </c>
      <c r="G31" s="36">
        <v>1.4</v>
      </c>
      <c r="H31" s="36">
        <v>17.4</v>
      </c>
      <c r="I31" s="36">
        <v>18.0</v>
      </c>
      <c r="J31" s="37">
        <v>0.34444444444444444</v>
      </c>
      <c r="K31" s="29" t="s">
        <v>57</v>
      </c>
      <c r="L31" s="32">
        <v>0.5465277777777777</v>
      </c>
      <c r="M31" s="29">
        <v>2.0</v>
      </c>
      <c r="N31" s="30">
        <f>6.3*10^6</f>
        <v>6300000</v>
      </c>
      <c r="O31" s="30"/>
      <c r="P31" s="29">
        <v>88.0</v>
      </c>
      <c r="Q31" s="29">
        <v>47.0</v>
      </c>
      <c r="R31" s="29">
        <v>41.0</v>
      </c>
      <c r="S31" s="29">
        <v>47.0</v>
      </c>
      <c r="T31" s="29">
        <v>12.0</v>
      </c>
      <c r="U31" s="29" t="s">
        <v>61</v>
      </c>
    </row>
  </sheetData>
  <dataValidations>
    <dataValidation type="custom" allowBlank="1" showDropDown="1" sqref="J2:J31 L2:L31">
      <formula1>OR(TIMEVALUE(TEXT(J2, "hh:mm:ss"))=J2, AND(ISNUMBER(J2), LEFT(CELL("format", J2))="D"))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4" t="s">
        <v>20</v>
      </c>
    </row>
    <row r="2">
      <c r="A2" s="5">
        <v>45796.0</v>
      </c>
      <c r="B2" s="6" t="s">
        <v>62</v>
      </c>
      <c r="C2" s="6" t="s">
        <v>22</v>
      </c>
      <c r="D2" s="7">
        <v>1.58</v>
      </c>
      <c r="E2" s="6" t="s">
        <v>23</v>
      </c>
      <c r="F2" s="6" t="s">
        <v>24</v>
      </c>
      <c r="G2" s="7">
        <v>10.0</v>
      </c>
      <c r="H2" s="7">
        <v>1.2</v>
      </c>
      <c r="I2" s="7">
        <v>18.0</v>
      </c>
      <c r="J2" s="8">
        <v>0.475</v>
      </c>
      <c r="K2" s="6" t="s">
        <v>25</v>
      </c>
      <c r="L2" s="8">
        <v>0.5833333333333334</v>
      </c>
      <c r="M2" s="7"/>
      <c r="N2" s="7"/>
      <c r="O2" s="7"/>
      <c r="P2" s="7"/>
      <c r="Q2" s="7"/>
      <c r="R2" s="7"/>
      <c r="S2" s="7"/>
      <c r="T2" s="7"/>
      <c r="U2" s="9"/>
    </row>
    <row r="3">
      <c r="A3" s="10">
        <v>45796.0</v>
      </c>
      <c r="B3" s="11" t="s">
        <v>62</v>
      </c>
      <c r="C3" s="11" t="s">
        <v>22</v>
      </c>
      <c r="D3" s="12">
        <v>1.58</v>
      </c>
      <c r="E3" s="11" t="s">
        <v>23</v>
      </c>
      <c r="F3" s="11" t="s">
        <v>24</v>
      </c>
      <c r="G3" s="12">
        <v>10.0</v>
      </c>
      <c r="H3" s="12">
        <v>1.2</v>
      </c>
      <c r="I3" s="12">
        <v>18.0</v>
      </c>
      <c r="J3" s="13">
        <v>0.475</v>
      </c>
      <c r="K3" s="11" t="s">
        <v>27</v>
      </c>
      <c r="L3" s="13">
        <v>0.5416666666666666</v>
      </c>
      <c r="M3" s="12"/>
      <c r="N3" s="12"/>
      <c r="O3" s="12"/>
      <c r="P3" s="12"/>
      <c r="Q3" s="12"/>
      <c r="R3" s="12"/>
      <c r="S3" s="12"/>
      <c r="T3" s="12"/>
      <c r="U3" s="14"/>
    </row>
    <row r="4">
      <c r="A4" s="38">
        <v>45796.0</v>
      </c>
      <c r="B4" s="39" t="s">
        <v>62</v>
      </c>
      <c r="C4" s="39" t="s">
        <v>22</v>
      </c>
      <c r="D4" s="40">
        <v>1.58</v>
      </c>
      <c r="E4" s="39" t="s">
        <v>23</v>
      </c>
      <c r="F4" s="39" t="s">
        <v>24</v>
      </c>
      <c r="G4" s="40">
        <v>10.0</v>
      </c>
      <c r="H4" s="40">
        <v>1.2</v>
      </c>
      <c r="I4" s="40">
        <v>18.0</v>
      </c>
      <c r="J4" s="41">
        <v>0.475</v>
      </c>
      <c r="K4" s="39" t="s">
        <v>29</v>
      </c>
      <c r="L4" s="41">
        <v>0.49583333333333335</v>
      </c>
      <c r="M4" s="40"/>
      <c r="N4" s="40"/>
      <c r="O4" s="40"/>
      <c r="P4" s="40"/>
      <c r="Q4" s="40"/>
      <c r="R4" s="40"/>
      <c r="S4" s="40"/>
      <c r="T4" s="40"/>
      <c r="U4" s="42"/>
    </row>
  </sheetData>
  <dataValidations>
    <dataValidation type="custom" allowBlank="1" showDropDown="1" sqref="J2:J4 L2:L4">
      <formula1>OR(TIMEVALUE(TEXT(J2, "hh:mm:ss"))=J2, AND(ISNUMBER(J2), LEFT(CELL("format", J2))="D"))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13"/>
    <col customWidth="1" min="2" max="2" width="16.75"/>
    <col customWidth="1" min="3" max="3" width="15.38"/>
    <col customWidth="1" min="4" max="4" width="14.25"/>
    <col customWidth="1" min="5" max="5" width="14.0"/>
    <col customWidth="1" min="6" max="6" width="13.25"/>
    <col customWidth="1" min="7" max="7" width="27.88"/>
  </cols>
  <sheetData>
    <row r="1">
      <c r="A1" s="1" t="s">
        <v>63</v>
      </c>
      <c r="B1" s="2" t="s">
        <v>64</v>
      </c>
      <c r="C1" s="2" t="s">
        <v>65</v>
      </c>
      <c r="D1" s="2" t="s">
        <v>66</v>
      </c>
      <c r="E1" s="2" t="s">
        <v>67</v>
      </c>
      <c r="F1" s="2" t="s">
        <v>68</v>
      </c>
      <c r="G1" s="4" t="s">
        <v>69</v>
      </c>
    </row>
    <row r="2">
      <c r="A2" s="43">
        <v>45790.0</v>
      </c>
      <c r="B2" s="20" t="s">
        <v>70</v>
      </c>
      <c r="C2" s="20" t="s">
        <v>25</v>
      </c>
      <c r="D2" s="20">
        <v>5.0</v>
      </c>
      <c r="E2" s="20">
        <v>86.0</v>
      </c>
      <c r="F2" s="20">
        <v>50.0</v>
      </c>
      <c r="G2" s="27"/>
    </row>
    <row r="3">
      <c r="A3" s="44">
        <v>45790.0</v>
      </c>
      <c r="B3" s="24" t="s">
        <v>70</v>
      </c>
      <c r="C3" s="24" t="s">
        <v>25</v>
      </c>
      <c r="D3" s="24">
        <v>10.0</v>
      </c>
      <c r="E3" s="24">
        <v>82.0</v>
      </c>
      <c r="F3" s="24">
        <v>50.0</v>
      </c>
      <c r="G3" s="26"/>
    </row>
    <row r="4">
      <c r="A4" s="43">
        <v>45790.0</v>
      </c>
      <c r="B4" s="20" t="s">
        <v>70</v>
      </c>
      <c r="C4" s="20" t="s">
        <v>25</v>
      </c>
      <c r="D4" s="20">
        <v>15.0</v>
      </c>
      <c r="E4" s="20">
        <v>56.0</v>
      </c>
      <c r="F4" s="20">
        <v>50.0</v>
      </c>
      <c r="G4" s="27"/>
    </row>
    <row r="5">
      <c r="A5" s="44">
        <v>45790.0</v>
      </c>
      <c r="B5" s="24" t="s">
        <v>70</v>
      </c>
      <c r="C5" s="24" t="s">
        <v>25</v>
      </c>
      <c r="D5" s="24">
        <v>20.0</v>
      </c>
      <c r="E5" s="24">
        <v>82.0</v>
      </c>
      <c r="F5" s="24">
        <v>50.0</v>
      </c>
      <c r="G5" s="26"/>
    </row>
    <row r="6">
      <c r="A6" s="43">
        <v>45790.0</v>
      </c>
      <c r="B6" s="20" t="s">
        <v>71</v>
      </c>
      <c r="C6" s="20" t="s">
        <v>25</v>
      </c>
      <c r="D6" s="20">
        <v>5.0</v>
      </c>
      <c r="E6" s="20">
        <v>80.0</v>
      </c>
      <c r="F6" s="20">
        <v>40.0</v>
      </c>
      <c r="G6" s="27"/>
    </row>
    <row r="7">
      <c r="A7" s="44">
        <v>45790.0</v>
      </c>
      <c r="B7" s="24" t="s">
        <v>71</v>
      </c>
      <c r="C7" s="24" t="s">
        <v>25</v>
      </c>
      <c r="D7" s="24">
        <v>10.0</v>
      </c>
      <c r="E7" s="24">
        <v>62.0</v>
      </c>
      <c r="F7" s="24">
        <v>50.0</v>
      </c>
      <c r="G7" s="26"/>
    </row>
    <row r="8">
      <c r="A8" s="43">
        <v>45790.0</v>
      </c>
      <c r="B8" s="20" t="s">
        <v>71</v>
      </c>
      <c r="C8" s="20" t="s">
        <v>25</v>
      </c>
      <c r="D8" s="20">
        <v>15.0</v>
      </c>
      <c r="E8" s="20">
        <v>60.0</v>
      </c>
      <c r="F8" s="20">
        <v>50.0</v>
      </c>
      <c r="G8" s="27"/>
    </row>
    <row r="9">
      <c r="A9" s="44">
        <v>45790.0</v>
      </c>
      <c r="B9" s="24" t="s">
        <v>71</v>
      </c>
      <c r="C9" s="24" t="s">
        <v>25</v>
      </c>
      <c r="D9" s="24">
        <v>20.0</v>
      </c>
      <c r="E9" s="24">
        <v>70.0</v>
      </c>
      <c r="F9" s="24">
        <v>50.0</v>
      </c>
      <c r="G9" s="26"/>
    </row>
    <row r="10">
      <c r="A10" s="43">
        <v>45786.0</v>
      </c>
      <c r="B10" s="20" t="s">
        <v>70</v>
      </c>
      <c r="C10" s="20" t="s">
        <v>25</v>
      </c>
      <c r="D10" s="20">
        <v>5.0</v>
      </c>
      <c r="E10" s="20">
        <v>69.0</v>
      </c>
      <c r="F10" s="20">
        <v>50.0</v>
      </c>
      <c r="G10" s="27"/>
    </row>
    <row r="11">
      <c r="A11" s="44">
        <v>45786.0</v>
      </c>
      <c r="B11" s="24" t="s">
        <v>70</v>
      </c>
      <c r="C11" s="24" t="s">
        <v>25</v>
      </c>
      <c r="D11" s="24">
        <v>10.0</v>
      </c>
      <c r="E11" s="24">
        <v>74.0</v>
      </c>
      <c r="F11" s="24">
        <v>66.0</v>
      </c>
      <c r="G11" s="26"/>
    </row>
    <row r="12">
      <c r="A12" s="43">
        <v>45786.0</v>
      </c>
      <c r="B12" s="20" t="s">
        <v>70</v>
      </c>
      <c r="C12" s="20" t="s">
        <v>25</v>
      </c>
      <c r="D12" s="20">
        <v>15.0</v>
      </c>
      <c r="E12" s="20">
        <v>56.0</v>
      </c>
      <c r="F12" s="20">
        <v>50.0</v>
      </c>
      <c r="G12" s="27"/>
    </row>
    <row r="13">
      <c r="A13" s="44">
        <v>45786.0</v>
      </c>
      <c r="B13" s="24" t="s">
        <v>70</v>
      </c>
      <c r="C13" s="24" t="s">
        <v>25</v>
      </c>
      <c r="D13" s="24">
        <v>20.0</v>
      </c>
      <c r="E13" s="24">
        <v>63.0</v>
      </c>
      <c r="F13" s="24">
        <v>57.0</v>
      </c>
      <c r="G13" s="26"/>
    </row>
    <row r="14">
      <c r="A14" s="43">
        <v>45786.0</v>
      </c>
      <c r="B14" s="20" t="s">
        <v>71</v>
      </c>
      <c r="C14" s="20" t="s">
        <v>25</v>
      </c>
      <c r="D14" s="20">
        <v>5.0</v>
      </c>
      <c r="E14" s="20">
        <v>85.0</v>
      </c>
      <c r="F14" s="20">
        <v>55.0</v>
      </c>
      <c r="G14" s="27"/>
    </row>
    <row r="15">
      <c r="A15" s="44">
        <v>45786.0</v>
      </c>
      <c r="B15" s="24" t="s">
        <v>71</v>
      </c>
      <c r="C15" s="24" t="s">
        <v>25</v>
      </c>
      <c r="D15" s="24">
        <v>10.0</v>
      </c>
      <c r="E15" s="24">
        <v>70.0</v>
      </c>
      <c r="F15" s="24">
        <v>50.0</v>
      </c>
      <c r="G15" s="26"/>
    </row>
    <row r="16">
      <c r="A16" s="43">
        <v>45786.0</v>
      </c>
      <c r="B16" s="20" t="s">
        <v>71</v>
      </c>
      <c r="C16" s="20" t="s">
        <v>25</v>
      </c>
      <c r="D16" s="20">
        <v>15.0</v>
      </c>
      <c r="E16" s="20">
        <v>28.0</v>
      </c>
      <c r="F16" s="20">
        <v>50.0</v>
      </c>
      <c r="G16" s="27"/>
    </row>
    <row r="17">
      <c r="A17" s="44">
        <v>45786.0</v>
      </c>
      <c r="B17" s="24" t="s">
        <v>71</v>
      </c>
      <c r="C17" s="24" t="s">
        <v>25</v>
      </c>
      <c r="D17" s="24">
        <v>20.0</v>
      </c>
      <c r="E17" s="24">
        <v>50.0</v>
      </c>
      <c r="F17" s="24">
        <v>52.0</v>
      </c>
      <c r="G17" s="26"/>
    </row>
    <row r="18">
      <c r="A18" s="43">
        <v>45783.0</v>
      </c>
      <c r="B18" s="20" t="s">
        <v>70</v>
      </c>
      <c r="C18" s="20" t="s">
        <v>25</v>
      </c>
      <c r="D18" s="20">
        <v>5.0</v>
      </c>
      <c r="E18" s="20">
        <v>43.0</v>
      </c>
      <c r="F18" s="20">
        <v>37.0</v>
      </c>
      <c r="G18" s="27"/>
    </row>
    <row r="19">
      <c r="A19" s="44">
        <v>45783.0</v>
      </c>
      <c r="B19" s="24" t="s">
        <v>70</v>
      </c>
      <c r="C19" s="24" t="s">
        <v>25</v>
      </c>
      <c r="D19" s="24">
        <v>10.0</v>
      </c>
      <c r="E19" s="24">
        <v>24.0</v>
      </c>
      <c r="F19" s="24">
        <v>76.0</v>
      </c>
      <c r="G19" s="26"/>
    </row>
    <row r="20">
      <c r="A20" s="43">
        <v>45783.0</v>
      </c>
      <c r="B20" s="20" t="s">
        <v>70</v>
      </c>
      <c r="C20" s="20" t="s">
        <v>25</v>
      </c>
      <c r="D20" s="20">
        <v>15.0</v>
      </c>
      <c r="E20" s="20">
        <v>40.0</v>
      </c>
      <c r="F20" s="20">
        <v>50.0</v>
      </c>
      <c r="G20" s="27"/>
    </row>
    <row r="21">
      <c r="A21" s="44">
        <v>45783.0</v>
      </c>
      <c r="B21" s="24" t="s">
        <v>70</v>
      </c>
      <c r="C21" s="24" t="s">
        <v>25</v>
      </c>
      <c r="D21" s="24">
        <v>20.0</v>
      </c>
      <c r="E21" s="24">
        <v>13.0</v>
      </c>
      <c r="F21" s="24">
        <v>71.0</v>
      </c>
      <c r="G21" s="26"/>
    </row>
    <row r="22">
      <c r="A22" s="43">
        <v>45783.0</v>
      </c>
      <c r="B22" s="20" t="s">
        <v>71</v>
      </c>
      <c r="C22" s="20" t="s">
        <v>25</v>
      </c>
      <c r="D22" s="20">
        <v>5.0</v>
      </c>
      <c r="E22" s="20">
        <v>76.0</v>
      </c>
      <c r="F22" s="20">
        <v>61.0</v>
      </c>
      <c r="G22" s="27"/>
    </row>
    <row r="23">
      <c r="A23" s="44">
        <v>45783.0</v>
      </c>
      <c r="B23" s="24" t="s">
        <v>71</v>
      </c>
      <c r="C23" s="24" t="s">
        <v>25</v>
      </c>
      <c r="D23" s="24">
        <v>10.0</v>
      </c>
      <c r="E23" s="24">
        <v>72.0</v>
      </c>
      <c r="F23" s="24">
        <v>61.0</v>
      </c>
      <c r="G23" s="26"/>
    </row>
    <row r="24">
      <c r="A24" s="43">
        <v>45783.0</v>
      </c>
      <c r="B24" s="20" t="s">
        <v>71</v>
      </c>
      <c r="C24" s="20" t="s">
        <v>25</v>
      </c>
      <c r="D24" s="20">
        <v>15.0</v>
      </c>
      <c r="E24" s="20">
        <v>75.0</v>
      </c>
      <c r="F24" s="20">
        <v>51.0</v>
      </c>
      <c r="G24" s="27"/>
    </row>
    <row r="25">
      <c r="A25" s="44">
        <v>45783.0</v>
      </c>
      <c r="B25" s="24" t="s">
        <v>71</v>
      </c>
      <c r="C25" s="24" t="s">
        <v>25</v>
      </c>
      <c r="D25" s="24">
        <v>20.0</v>
      </c>
      <c r="E25" s="24">
        <v>58.0</v>
      </c>
      <c r="F25" s="24">
        <v>100.0</v>
      </c>
      <c r="G25" s="26"/>
    </row>
    <row r="26">
      <c r="A26" s="43"/>
      <c r="B26" s="20"/>
      <c r="C26" s="20"/>
      <c r="D26" s="20"/>
      <c r="E26" s="20"/>
      <c r="F26" s="20"/>
      <c r="G26" s="27"/>
    </row>
    <row r="27">
      <c r="A27" s="44"/>
      <c r="B27" s="24"/>
      <c r="C27" s="24"/>
      <c r="D27" s="24"/>
      <c r="E27" s="24"/>
      <c r="F27" s="24"/>
      <c r="G27" s="26"/>
    </row>
    <row r="28">
      <c r="A28" s="43">
        <v>45776.0</v>
      </c>
      <c r="B28" s="20" t="s">
        <v>70</v>
      </c>
      <c r="C28" s="20" t="s">
        <v>25</v>
      </c>
      <c r="D28" s="20">
        <v>5.0</v>
      </c>
      <c r="E28" s="20">
        <v>64.0</v>
      </c>
      <c r="F28" s="20">
        <v>36.0</v>
      </c>
      <c r="G28" s="27" t="s">
        <v>72</v>
      </c>
    </row>
    <row r="29">
      <c r="A29" s="44">
        <v>45776.0</v>
      </c>
      <c r="B29" s="24" t="s">
        <v>70</v>
      </c>
      <c r="C29" s="24" t="s">
        <v>25</v>
      </c>
      <c r="D29" s="24">
        <v>10.0</v>
      </c>
      <c r="E29" s="24">
        <v>74.0</v>
      </c>
      <c r="F29" s="24">
        <v>34.0</v>
      </c>
      <c r="G29" s="26" t="s">
        <v>72</v>
      </c>
    </row>
    <row r="30">
      <c r="A30" s="43">
        <v>45776.0</v>
      </c>
      <c r="B30" s="20" t="s">
        <v>70</v>
      </c>
      <c r="C30" s="20" t="s">
        <v>25</v>
      </c>
      <c r="D30" s="20">
        <v>15.0</v>
      </c>
      <c r="E30" s="20">
        <v>65.0</v>
      </c>
      <c r="F30" s="20">
        <v>75.0</v>
      </c>
      <c r="G30" s="27" t="s">
        <v>44</v>
      </c>
    </row>
    <row r="31">
      <c r="A31" s="44">
        <v>45776.0</v>
      </c>
      <c r="B31" s="24" t="s">
        <v>70</v>
      </c>
      <c r="C31" s="24" t="s">
        <v>25</v>
      </c>
      <c r="D31" s="24">
        <v>20.0</v>
      </c>
      <c r="E31" s="24">
        <v>71.0</v>
      </c>
      <c r="F31" s="24">
        <v>35.0</v>
      </c>
      <c r="G31" s="26" t="s">
        <v>72</v>
      </c>
    </row>
    <row r="32">
      <c r="A32" s="45">
        <v>45748.0</v>
      </c>
      <c r="B32" s="20" t="s">
        <v>70</v>
      </c>
      <c r="C32" s="20" t="s">
        <v>25</v>
      </c>
      <c r="D32" s="20">
        <v>5.0</v>
      </c>
      <c r="E32" s="20">
        <v>28.0</v>
      </c>
      <c r="F32" s="20">
        <v>100.0</v>
      </c>
      <c r="G32" s="27" t="s">
        <v>51</v>
      </c>
    </row>
    <row r="33">
      <c r="A33" s="46">
        <v>45748.0</v>
      </c>
      <c r="B33" s="24" t="s">
        <v>70</v>
      </c>
      <c r="C33" s="24" t="s">
        <v>25</v>
      </c>
      <c r="D33" s="24">
        <v>10.0</v>
      </c>
      <c r="E33" s="24">
        <v>6.5</v>
      </c>
      <c r="F33" s="24">
        <v>62.0</v>
      </c>
      <c r="G33" s="26" t="s">
        <v>73</v>
      </c>
    </row>
    <row r="34">
      <c r="A34" s="45">
        <v>45748.0</v>
      </c>
      <c r="B34" s="20" t="s">
        <v>70</v>
      </c>
      <c r="C34" s="20" t="s">
        <v>25</v>
      </c>
      <c r="D34" s="20">
        <v>15.0</v>
      </c>
      <c r="E34" s="20">
        <v>27.0</v>
      </c>
      <c r="F34" s="20">
        <v>62.0</v>
      </c>
      <c r="G34" s="27" t="s">
        <v>45</v>
      </c>
    </row>
    <row r="35">
      <c r="A35" s="46">
        <v>45748.0</v>
      </c>
      <c r="B35" s="24" t="s">
        <v>70</v>
      </c>
      <c r="C35" s="24" t="s">
        <v>25</v>
      </c>
      <c r="D35" s="24">
        <v>20.0</v>
      </c>
      <c r="E35" s="24">
        <v>6.0</v>
      </c>
      <c r="F35" s="24">
        <v>50.0</v>
      </c>
      <c r="G35" s="26" t="s">
        <v>45</v>
      </c>
    </row>
    <row r="36">
      <c r="A36" s="45">
        <v>45748.0</v>
      </c>
      <c r="B36" s="20" t="s">
        <v>71</v>
      </c>
      <c r="C36" s="20" t="s">
        <v>25</v>
      </c>
      <c r="D36" s="20">
        <v>5.0</v>
      </c>
      <c r="E36" s="20">
        <v>16.0</v>
      </c>
      <c r="F36" s="20">
        <v>75.0</v>
      </c>
      <c r="G36" s="27" t="s">
        <v>74</v>
      </c>
    </row>
    <row r="37">
      <c r="A37" s="46">
        <v>45748.0</v>
      </c>
      <c r="B37" s="24" t="s">
        <v>71</v>
      </c>
      <c r="C37" s="24" t="s">
        <v>25</v>
      </c>
      <c r="D37" s="24">
        <v>10.0</v>
      </c>
      <c r="E37" s="24">
        <v>23.0</v>
      </c>
      <c r="F37" s="24">
        <v>90.0</v>
      </c>
      <c r="G37" s="26" t="s">
        <v>51</v>
      </c>
    </row>
    <row r="38">
      <c r="A38" s="45">
        <v>45748.0</v>
      </c>
      <c r="B38" s="20" t="s">
        <v>71</v>
      </c>
      <c r="C38" s="20" t="s">
        <v>25</v>
      </c>
      <c r="D38" s="20">
        <v>15.0</v>
      </c>
      <c r="E38" s="20">
        <v>33.0</v>
      </c>
      <c r="F38" s="20">
        <v>100.0</v>
      </c>
      <c r="G38" s="27" t="s">
        <v>75</v>
      </c>
    </row>
    <row r="39">
      <c r="A39" s="46">
        <v>45748.0</v>
      </c>
      <c r="B39" s="24" t="s">
        <v>71</v>
      </c>
      <c r="C39" s="24" t="s">
        <v>25</v>
      </c>
      <c r="D39" s="24">
        <v>20.0</v>
      </c>
      <c r="E39" s="24">
        <v>21.0</v>
      </c>
      <c r="F39" s="24">
        <v>72.0</v>
      </c>
      <c r="G39" s="26" t="s">
        <v>76</v>
      </c>
    </row>
    <row r="40">
      <c r="A40" s="43">
        <v>45740.0</v>
      </c>
      <c r="B40" s="20" t="s">
        <v>70</v>
      </c>
      <c r="C40" s="20" t="s">
        <v>49</v>
      </c>
      <c r="D40" s="20">
        <v>5.0</v>
      </c>
      <c r="E40" s="20">
        <v>28.0</v>
      </c>
      <c r="F40" s="20">
        <v>62.0</v>
      </c>
    </row>
    <row r="41">
      <c r="A41" s="44">
        <v>45740.0</v>
      </c>
      <c r="B41" s="24" t="s">
        <v>70</v>
      </c>
      <c r="C41" s="24" t="s">
        <v>49</v>
      </c>
      <c r="D41" s="24">
        <v>10.0</v>
      </c>
      <c r="E41" s="24">
        <v>27.0</v>
      </c>
      <c r="F41" s="24">
        <v>54.0</v>
      </c>
    </row>
    <row r="42">
      <c r="A42" s="43">
        <v>45740.0</v>
      </c>
      <c r="B42" s="20" t="s">
        <v>70</v>
      </c>
      <c r="C42" s="20" t="s">
        <v>49</v>
      </c>
      <c r="D42" s="20">
        <v>15.0</v>
      </c>
      <c r="E42" s="20">
        <v>60.0</v>
      </c>
      <c r="F42" s="20">
        <v>53.0</v>
      </c>
    </row>
    <row r="43">
      <c r="A43" s="44">
        <v>45740.0</v>
      </c>
      <c r="B43" s="24" t="s">
        <v>70</v>
      </c>
      <c r="C43" s="24" t="s">
        <v>49</v>
      </c>
      <c r="D43" s="24">
        <v>20.0</v>
      </c>
      <c r="E43" s="24">
        <v>50.0</v>
      </c>
      <c r="F43" s="24">
        <v>60.0</v>
      </c>
    </row>
    <row r="44">
      <c r="A44" s="43">
        <v>45740.0</v>
      </c>
      <c r="B44" s="20" t="s">
        <v>71</v>
      </c>
      <c r="C44" s="20" t="s">
        <v>49</v>
      </c>
      <c r="D44" s="20">
        <v>5.0</v>
      </c>
      <c r="E44" s="20">
        <v>10.0</v>
      </c>
      <c r="F44" s="20">
        <v>50.0</v>
      </c>
    </row>
    <row r="45">
      <c r="A45" s="44">
        <v>45740.0</v>
      </c>
      <c r="B45" s="24" t="s">
        <v>71</v>
      </c>
      <c r="C45" s="24" t="s">
        <v>49</v>
      </c>
      <c r="D45" s="24">
        <v>10.0</v>
      </c>
      <c r="E45" s="24">
        <v>16.0</v>
      </c>
      <c r="F45" s="24">
        <v>50.0</v>
      </c>
    </row>
    <row r="46">
      <c r="A46" s="43">
        <v>45740.0</v>
      </c>
      <c r="B46" s="20" t="s">
        <v>71</v>
      </c>
      <c r="C46" s="20" t="s">
        <v>49</v>
      </c>
      <c r="D46" s="20">
        <v>15.0</v>
      </c>
      <c r="E46" s="20">
        <v>61.0</v>
      </c>
      <c r="F46" s="20">
        <v>56.0</v>
      </c>
    </row>
    <row r="47">
      <c r="A47" s="44">
        <v>45740.0</v>
      </c>
      <c r="B47" s="24" t="s">
        <v>71</v>
      </c>
      <c r="C47" s="24" t="s">
        <v>49</v>
      </c>
      <c r="D47" s="24">
        <v>20.0</v>
      </c>
      <c r="E47" s="24">
        <v>30.0</v>
      </c>
      <c r="F47" s="24">
        <v>10.0</v>
      </c>
      <c r="G47" s="26" t="s">
        <v>72</v>
      </c>
    </row>
    <row r="48">
      <c r="A48" s="43">
        <v>45737.0</v>
      </c>
      <c r="B48" s="20" t="s">
        <v>71</v>
      </c>
      <c r="C48" s="20" t="s">
        <v>25</v>
      </c>
      <c r="D48" s="20">
        <v>5.0</v>
      </c>
      <c r="E48" s="20">
        <v>54.0</v>
      </c>
      <c r="F48" s="20">
        <v>100.0</v>
      </c>
    </row>
    <row r="49">
      <c r="A49" s="44">
        <v>45737.0</v>
      </c>
      <c r="B49" s="24" t="s">
        <v>71</v>
      </c>
      <c r="C49" s="24" t="s">
        <v>25</v>
      </c>
      <c r="D49" s="24">
        <v>10.0</v>
      </c>
      <c r="E49" s="24">
        <v>52.0</v>
      </c>
      <c r="F49" s="24">
        <v>100.0</v>
      </c>
    </row>
    <row r="50">
      <c r="A50" s="43">
        <v>45737.0</v>
      </c>
      <c r="B50" s="20" t="s">
        <v>71</v>
      </c>
      <c r="C50" s="20" t="s">
        <v>25</v>
      </c>
      <c r="D50" s="20">
        <v>15.0</v>
      </c>
      <c r="E50" s="20">
        <v>60.0</v>
      </c>
      <c r="F50" s="20">
        <v>10.0</v>
      </c>
    </row>
    <row r="51">
      <c r="A51" s="44">
        <v>45737.0</v>
      </c>
      <c r="B51" s="24" t="s">
        <v>71</v>
      </c>
      <c r="C51" s="24" t="s">
        <v>25</v>
      </c>
      <c r="D51" s="24">
        <v>20.0</v>
      </c>
      <c r="E51" s="24" t="s">
        <v>45</v>
      </c>
      <c r="F51" s="24" t="s">
        <v>45</v>
      </c>
      <c r="G51" s="26" t="s">
        <v>77</v>
      </c>
    </row>
    <row r="52">
      <c r="A52" s="43">
        <v>45737.0</v>
      </c>
      <c r="B52" s="20" t="s">
        <v>70</v>
      </c>
      <c r="C52" s="20" t="s">
        <v>25</v>
      </c>
      <c r="D52" s="20">
        <v>5.0</v>
      </c>
      <c r="E52" s="20">
        <v>22.0</v>
      </c>
      <c r="F52" s="20">
        <v>25.0</v>
      </c>
      <c r="G52" s="27" t="s">
        <v>72</v>
      </c>
    </row>
    <row r="53">
      <c r="A53" s="44">
        <v>45737.0</v>
      </c>
      <c r="B53" s="24" t="s">
        <v>70</v>
      </c>
      <c r="C53" s="24" t="s">
        <v>25</v>
      </c>
      <c r="D53" s="24">
        <v>10.0</v>
      </c>
      <c r="E53" s="24">
        <v>26.0</v>
      </c>
      <c r="F53" s="24">
        <v>61.0</v>
      </c>
    </row>
    <row r="54">
      <c r="A54" s="43">
        <v>45737.0</v>
      </c>
      <c r="B54" s="20" t="s">
        <v>70</v>
      </c>
      <c r="C54" s="20" t="s">
        <v>25</v>
      </c>
      <c r="D54" s="20">
        <v>15.0</v>
      </c>
      <c r="E54" s="20">
        <v>48.0</v>
      </c>
      <c r="F54" s="20">
        <v>47.0</v>
      </c>
      <c r="G54" s="27" t="s">
        <v>72</v>
      </c>
    </row>
    <row r="55">
      <c r="A55" s="47">
        <v>45737.0</v>
      </c>
      <c r="B55" s="36" t="s">
        <v>70</v>
      </c>
      <c r="C55" s="36" t="s">
        <v>25</v>
      </c>
      <c r="D55" s="36">
        <v>20.0</v>
      </c>
      <c r="E55" s="36">
        <v>47.0</v>
      </c>
      <c r="F55" s="36">
        <v>19.0</v>
      </c>
      <c r="G55" s="48" t="s">
        <v>72</v>
      </c>
    </row>
  </sheetData>
  <drawing r:id="rId1"/>
  <tableParts count="1">
    <tablePart r:id="rId3"/>
  </tableParts>
</worksheet>
</file>